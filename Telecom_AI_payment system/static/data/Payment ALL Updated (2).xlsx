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an Shetty\OneDrive\Attachments\Desktop\Telecom_AI_payment system\static\data\"/>
    </mc:Choice>
  </mc:AlternateContent>
  <xr:revisionPtr revIDLastSave="0" documentId="13_ncr:1_{D5D01097-75BF-450B-A5A6-096209BD5596}" xr6:coauthVersionLast="47" xr6:coauthVersionMax="47" xr10:uidLastSave="{00000000-0000-0000-0000-000000000000}"/>
  <bookViews>
    <workbookView xWindow="5040" yWindow="2856" windowWidth="10488" windowHeight="8880" activeTab="1" xr2:uid="{55414338-6F07-49F5-BDB2-BF791D313F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62" i="1" l="1"/>
  <c r="N55" i="1"/>
  <c r="N52" i="1"/>
  <c r="N47" i="1"/>
  <c r="N46" i="1"/>
  <c r="N45" i="1"/>
  <c r="N44" i="1"/>
  <c r="N43" i="1"/>
  <c r="F9" i="1"/>
  <c r="F2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11" i="1"/>
  <c r="N12" i="1"/>
  <c r="N13" i="1"/>
  <c r="N14" i="1"/>
  <c r="N15" i="1"/>
  <c r="N16" i="1"/>
  <c r="N17" i="1"/>
  <c r="N10" i="1"/>
  <c r="N3" i="1"/>
  <c r="N4" i="1"/>
  <c r="N5" i="1"/>
  <c r="N6" i="1"/>
  <c r="N7" i="1"/>
  <c r="N8" i="1"/>
  <c r="N9" i="1"/>
  <c r="N2" i="1"/>
  <c r="F3" i="1"/>
  <c r="F4" i="1"/>
  <c r="F5" i="1"/>
  <c r="F6" i="1"/>
  <c r="F7" i="1"/>
  <c r="F8" i="1"/>
  <c r="F10" i="1"/>
  <c r="F11" i="1"/>
  <c r="F12" i="1"/>
  <c r="F13" i="1"/>
  <c r="F14" i="1"/>
  <c r="F15" i="1"/>
  <c r="F16" i="1"/>
  <c r="F17" i="1"/>
  <c r="E64" i="1"/>
  <c r="M64" i="1"/>
  <c r="I64" i="1"/>
  <c r="J2" i="1" l="1" a="1"/>
  <c r="J2" i="1" s="1"/>
  <c r="J17" i="1" l="1"/>
  <c r="J27" i="1"/>
  <c r="J11" i="1"/>
  <c r="J16" i="1"/>
  <c r="J28" i="1"/>
  <c r="J10" i="1"/>
  <c r="J48" i="1"/>
  <c r="J12" i="1"/>
  <c r="J57" i="1"/>
  <c r="J41" i="1"/>
  <c r="J25" i="1"/>
  <c r="J9" i="1"/>
  <c r="J31" i="1"/>
  <c r="J13" i="1"/>
  <c r="J59" i="1"/>
  <c r="J56" i="1"/>
  <c r="J40" i="1"/>
  <c r="J24" i="1"/>
  <c r="J8" i="1"/>
  <c r="J46" i="1"/>
  <c r="J60" i="1"/>
  <c r="J58" i="1"/>
  <c r="J55" i="1"/>
  <c r="J39" i="1"/>
  <c r="J23" i="1"/>
  <c r="J7" i="1"/>
  <c r="J49" i="1"/>
  <c r="J47" i="1"/>
  <c r="J29" i="1"/>
  <c r="J26" i="1"/>
  <c r="J54" i="1"/>
  <c r="J38" i="1"/>
  <c r="J22" i="1"/>
  <c r="J6" i="1"/>
  <c r="J33" i="1"/>
  <c r="J15" i="1"/>
  <c r="J45" i="1"/>
  <c r="J43" i="1"/>
  <c r="J53" i="1"/>
  <c r="J37" i="1"/>
  <c r="J21" i="1"/>
  <c r="J5" i="1"/>
  <c r="J14" i="1"/>
  <c r="J52" i="1"/>
  <c r="J36" i="1"/>
  <c r="J20" i="1"/>
  <c r="J4" i="1"/>
  <c r="J32" i="1"/>
  <c r="J51" i="1"/>
  <c r="J35" i="1"/>
  <c r="J19" i="1"/>
  <c r="J3" i="1"/>
  <c r="J30" i="1"/>
  <c r="J61" i="1"/>
  <c r="J44" i="1"/>
  <c r="J42" i="1"/>
  <c r="J50" i="1"/>
  <c r="J34" i="1"/>
  <c r="J18" i="1"/>
</calcChain>
</file>

<file path=xl/sharedStrings.xml><?xml version="1.0" encoding="utf-8"?>
<sst xmlns="http://schemas.openxmlformats.org/spreadsheetml/2006/main" count="174" uniqueCount="85">
  <si>
    <t>Location name</t>
  </si>
  <si>
    <t>PGCIL Last Payment Date</t>
  </si>
  <si>
    <t>JIO Last Payment Date</t>
  </si>
  <si>
    <t>BSNL Last Payment Date</t>
  </si>
  <si>
    <t>Western RO (BKC office) and Maharashtra SO</t>
  </si>
  <si>
    <t>SNo</t>
  </si>
  <si>
    <t>Sewree-1 Marketing Terminal</t>
  </si>
  <si>
    <t>JNPT Marketing Terminal</t>
  </si>
  <si>
    <t>Keshava Office Premises</t>
  </si>
  <si>
    <t>Mumbai DO</t>
  </si>
  <si>
    <t>Taloja LBP</t>
  </si>
  <si>
    <t>Trombay LBP</t>
  </si>
  <si>
    <t>Vashi LBP (Vashi IOBL)</t>
  </si>
  <si>
    <t>Trombay LC</t>
  </si>
  <si>
    <t>Turbhe CIP</t>
  </si>
  <si>
    <t>Uran BP</t>
  </si>
  <si>
    <t>Sewree-2 Marketing Terminal</t>
  </si>
  <si>
    <t>Mumbai AFS (Sahar AFS)</t>
  </si>
  <si>
    <t>Vashi Marketing Terminal</t>
  </si>
  <si>
    <t>Wadala-II Marketing Terminal</t>
  </si>
  <si>
    <t>Mumbai AFS 2 (Santacruz MAFFFL)</t>
  </si>
  <si>
    <t>31.03.2024</t>
  </si>
  <si>
    <t>Colaba  AFS</t>
  </si>
  <si>
    <t>Pune Marketing Terminal (Loni Marketing Terminal)</t>
  </si>
  <si>
    <t>Chakan BP</t>
  </si>
  <si>
    <t>Miraj Depot</t>
  </si>
  <si>
    <t>AURANGABAD DO</t>
  </si>
  <si>
    <t>AURANGABAD AO</t>
  </si>
  <si>
    <t>Ahmadnagar Depot (Akolner Depot)</t>
  </si>
  <si>
    <t>Nasik Cryogenics Plant</t>
  </si>
  <si>
    <t>NASIK AFS</t>
  </si>
  <si>
    <t>Dhule Depot (Shirud Depot)</t>
  </si>
  <si>
    <t>Manmad Marketing Terminal (Panewadi Marketing Terminal)</t>
  </si>
  <si>
    <t>Manmad BP</t>
  </si>
  <si>
    <t>Khapri Depot</t>
  </si>
  <si>
    <t>Khapri SCFP</t>
  </si>
  <si>
    <t>Nagpur AFS</t>
  </si>
  <si>
    <t>Nagpur BP</t>
  </si>
  <si>
    <t>Akola Depot</t>
  </si>
  <si>
    <t>GOA DO</t>
  </si>
  <si>
    <t>ZIOTL Goa</t>
  </si>
  <si>
    <t>Vasco-da-Gama Marketing Terminal</t>
  </si>
  <si>
    <t xml:space="preserve">  PUNE DO</t>
  </si>
  <si>
    <t>Shirdi AFS</t>
  </si>
  <si>
    <t>Akola Depot (Gaigaon Depot)</t>
  </si>
  <si>
    <t>RATNAGIRI AFS</t>
  </si>
  <si>
    <t>Solapur Depot</t>
  </si>
  <si>
    <t>NAGPUR Terminal</t>
  </si>
  <si>
    <t>HPC CELL TROMBAY</t>
  </si>
  <si>
    <t>IOC Cell BPC Borkhedi  </t>
  </si>
  <si>
    <t>SCFP Trombay</t>
  </si>
  <si>
    <t>Airtel Wireless MPLS VPN connectivity</t>
  </si>
  <si>
    <t>Nagpur DO</t>
  </si>
  <si>
    <t>Dhanaj BP</t>
  </si>
  <si>
    <t>Gondia AFS</t>
  </si>
  <si>
    <t>Nayra Energy</t>
  </si>
  <si>
    <t>Aurangabad AFS</t>
  </si>
  <si>
    <t>Chandrapur Depot (Tadali Depot)</t>
  </si>
  <si>
    <t>Juhu AFS</t>
  </si>
  <si>
    <t>Mumbai Indian Oil Petrochemicals (Sarjan Plaza)</t>
  </si>
  <si>
    <t>New Solapur Depot</t>
  </si>
  <si>
    <t>Pimpri Lube Depot</t>
  </si>
  <si>
    <t>Sindhudurga AFS</t>
  </si>
  <si>
    <t>PGCIL Pending Amount</t>
  </si>
  <si>
    <t>PGCIL Number of Quarters pending</t>
  </si>
  <si>
    <t xml:space="preserve">PGCIL Rate per Qurater </t>
  </si>
  <si>
    <t>JIO Pending Amount</t>
  </si>
  <si>
    <t>JIO Number of Quarters</t>
  </si>
  <si>
    <t>JIO Rate per Quarter</t>
  </si>
  <si>
    <t xml:space="preserve">BSNL Number of half years </t>
  </si>
  <si>
    <t>BSNL Rate per Half year</t>
  </si>
  <si>
    <t>Dabolim AFS</t>
  </si>
  <si>
    <t>Dabolim AFS Unit 2</t>
  </si>
  <si>
    <t>Pune AFS</t>
  </si>
  <si>
    <t>Nagpur Lubes BP</t>
  </si>
  <si>
    <t>Total Amount Pending</t>
  </si>
  <si>
    <t>per Quarter</t>
  </si>
  <si>
    <t>pet Half Year</t>
  </si>
  <si>
    <t>BSNL pending Amount</t>
  </si>
  <si>
    <t>01.01.2022</t>
  </si>
  <si>
    <t>01.01.2024</t>
  </si>
  <si>
    <t>BSNL(Half yearly)</t>
  </si>
  <si>
    <t>Bandwidth(MBPS)</t>
  </si>
  <si>
    <t>JIO(Quarterly)</t>
  </si>
  <si>
    <t>PGCIL(Quarterly)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</si>
</sst>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0" xfId="0" applyFont="1" applyFill="1"/>
    <xf numFmtId="0" fontId="3" fillId="2" borderId="1" xfId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0" xfId="0" applyFill="1"/>
    <xf numFmtId="0" fontId="0" fillId="3" borderId="0" xfId="0" applyFill="1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left"/>
    </xf>
  </cellXfs>
  <cellStyles count="2">
    <cellStyle name="Normal" xfId="0" builtinId="0"/>
    <cellStyle name="Normal 2" xfId="1" xr:uid="{170D7B6A-D4E7-4B31-B0D1-A2FDF32428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74F8-1535-4ABA-AA92-EC277D0ABBE6}">
  <dimension ref="A1:N65"/>
  <sheetViews>
    <sheetView workbookViewId="0">
      <selection activeCell="M25" sqref="M25"/>
    </sheetView>
  </sheetViews>
  <sheetFormatPr defaultRowHeight="14.4" x14ac:dyDescent="0.3"/>
  <cols>
    <col min="1" max="1" width="4.5546875" bestFit="1" customWidth="1"/>
    <col min="2" max="2" width="47.88671875" bestFit="1" customWidth="1"/>
    <col min="3" max="3" width="23.33203125" bestFit="1" customWidth="1"/>
    <col min="4" max="4" width="23.33203125" customWidth="1"/>
    <col min="5" max="6" width="23.33203125" style="3" customWidth="1"/>
    <col min="7" max="7" width="20.6640625" bestFit="1" customWidth="1"/>
    <col min="8" max="10" width="20.6640625" style="3" customWidth="1"/>
    <col min="11" max="11" width="22.5546875" bestFit="1" customWidth="1"/>
    <col min="12" max="12" width="16.44140625" bestFit="1" customWidth="1"/>
    <col min="13" max="13" width="15.33203125" customWidth="1"/>
    <col min="14" max="14" width="21" bestFit="1" customWidth="1"/>
  </cols>
  <sheetData>
    <row r="1" spans="1:14" x14ac:dyDescent="0.3">
      <c r="A1" s="2" t="s">
        <v>5</v>
      </c>
      <c r="B1" s="2" t="s">
        <v>0</v>
      </c>
      <c r="C1" s="1" t="s">
        <v>1</v>
      </c>
      <c r="D1" s="1" t="s">
        <v>64</v>
      </c>
      <c r="E1" s="4" t="s">
        <v>65</v>
      </c>
      <c r="F1" s="4" t="s">
        <v>63</v>
      </c>
      <c r="G1" s="1" t="s">
        <v>2</v>
      </c>
      <c r="H1" s="4" t="s">
        <v>67</v>
      </c>
      <c r="I1" s="4" t="s">
        <v>68</v>
      </c>
      <c r="J1" s="4" t="s">
        <v>66</v>
      </c>
      <c r="K1" s="1" t="s">
        <v>3</v>
      </c>
      <c r="L1" s="1" t="s">
        <v>69</v>
      </c>
      <c r="M1" s="1" t="s">
        <v>70</v>
      </c>
      <c r="N1" s="1" t="s">
        <v>78</v>
      </c>
    </row>
    <row r="2" spans="1:14" x14ac:dyDescent="0.3">
      <c r="A2">
        <v>1</v>
      </c>
      <c r="B2" t="s">
        <v>4</v>
      </c>
      <c r="C2" t="s">
        <v>79</v>
      </c>
      <c r="D2" s="3">
        <v>7</v>
      </c>
      <c r="E2" s="3">
        <v>50000</v>
      </c>
      <c r="F2" s="3">
        <f>(D2*E2)</f>
        <v>350000</v>
      </c>
      <c r="G2" t="s">
        <v>80</v>
      </c>
      <c r="H2" s="3">
        <v>3</v>
      </c>
      <c r="I2" s="3">
        <v>40000</v>
      </c>
      <c r="J2" s="3">
        <f t="array" ref="J2:J61">H2:H61*I2:I61</f>
        <v>120000</v>
      </c>
      <c r="N2">
        <f>(L2*M2)</f>
        <v>0</v>
      </c>
    </row>
    <row r="3" spans="1:14" x14ac:dyDescent="0.3">
      <c r="A3">
        <v>2</v>
      </c>
      <c r="B3" t="s">
        <v>6</v>
      </c>
      <c r="C3" t="s">
        <v>79</v>
      </c>
      <c r="D3" s="3">
        <v>7</v>
      </c>
      <c r="E3" s="3">
        <v>25000</v>
      </c>
      <c r="F3" s="3">
        <f t="shared" ref="F3:F17" si="0">(D3*E3)</f>
        <v>175000</v>
      </c>
      <c r="J3" s="3">
        <v>0</v>
      </c>
      <c r="N3">
        <f t="shared" ref="N3:N9" si="1">(L3*M3)</f>
        <v>0</v>
      </c>
    </row>
    <row r="4" spans="1:14" x14ac:dyDescent="0.3">
      <c r="A4">
        <v>3</v>
      </c>
      <c r="B4" t="s">
        <v>7</v>
      </c>
      <c r="C4" t="s">
        <v>79</v>
      </c>
      <c r="D4" s="3">
        <v>7</v>
      </c>
      <c r="E4" s="3">
        <v>25000</v>
      </c>
      <c r="F4" s="3">
        <f t="shared" si="0"/>
        <v>175000</v>
      </c>
      <c r="G4" t="s">
        <v>80</v>
      </c>
      <c r="H4" s="3">
        <v>3</v>
      </c>
      <c r="I4" s="3">
        <v>60000</v>
      </c>
      <c r="J4" s="3">
        <v>180000</v>
      </c>
      <c r="N4">
        <f t="shared" si="1"/>
        <v>0</v>
      </c>
    </row>
    <row r="5" spans="1:14" x14ac:dyDescent="0.3">
      <c r="A5">
        <v>4</v>
      </c>
      <c r="B5" t="s">
        <v>8</v>
      </c>
      <c r="C5" t="s">
        <v>79</v>
      </c>
      <c r="D5" s="3">
        <v>7</v>
      </c>
      <c r="E5" s="3">
        <v>25000</v>
      </c>
      <c r="F5" s="3">
        <f t="shared" si="0"/>
        <v>175000</v>
      </c>
      <c r="G5" t="s">
        <v>80</v>
      </c>
      <c r="H5" s="3">
        <v>3</v>
      </c>
      <c r="I5" s="3">
        <v>40000</v>
      </c>
      <c r="J5" s="3">
        <v>120000</v>
      </c>
      <c r="N5">
        <f t="shared" si="1"/>
        <v>0</v>
      </c>
    </row>
    <row r="6" spans="1:14" x14ac:dyDescent="0.3">
      <c r="A6">
        <v>5</v>
      </c>
      <c r="B6" t="s">
        <v>9</v>
      </c>
      <c r="C6" t="s">
        <v>79</v>
      </c>
      <c r="D6" s="3">
        <v>7</v>
      </c>
      <c r="E6" s="3">
        <v>25000</v>
      </c>
      <c r="F6" s="3">
        <f t="shared" si="0"/>
        <v>175000</v>
      </c>
      <c r="J6" s="3">
        <v>0</v>
      </c>
      <c r="N6">
        <f t="shared" si="1"/>
        <v>0</v>
      </c>
    </row>
    <row r="7" spans="1:14" x14ac:dyDescent="0.3">
      <c r="A7">
        <v>6</v>
      </c>
      <c r="B7" t="s">
        <v>10</v>
      </c>
      <c r="C7" t="s">
        <v>79</v>
      </c>
      <c r="D7" s="3">
        <v>7</v>
      </c>
      <c r="E7" s="3">
        <v>90000</v>
      </c>
      <c r="F7" s="3">
        <f t="shared" si="0"/>
        <v>630000</v>
      </c>
      <c r="G7" t="s">
        <v>80</v>
      </c>
      <c r="H7" s="3">
        <v>3</v>
      </c>
      <c r="I7" s="3">
        <v>60000</v>
      </c>
      <c r="J7" s="3">
        <v>180000</v>
      </c>
      <c r="N7">
        <f t="shared" si="1"/>
        <v>0</v>
      </c>
    </row>
    <row r="8" spans="1:14" x14ac:dyDescent="0.3">
      <c r="A8">
        <v>7</v>
      </c>
      <c r="B8" t="s">
        <v>11</v>
      </c>
      <c r="C8" t="s">
        <v>79</v>
      </c>
      <c r="D8" s="3">
        <v>7</v>
      </c>
      <c r="E8" s="3">
        <v>90000</v>
      </c>
      <c r="F8" s="3">
        <f t="shared" si="0"/>
        <v>630000</v>
      </c>
      <c r="G8" t="s">
        <v>80</v>
      </c>
      <c r="H8" s="3">
        <v>3</v>
      </c>
      <c r="I8" s="3">
        <v>60000</v>
      </c>
      <c r="J8" s="3">
        <v>180000</v>
      </c>
      <c r="N8">
        <f t="shared" si="1"/>
        <v>0</v>
      </c>
    </row>
    <row r="9" spans="1:14" x14ac:dyDescent="0.3">
      <c r="A9">
        <v>8</v>
      </c>
      <c r="B9" t="s">
        <v>12</v>
      </c>
      <c r="C9" t="s">
        <v>79</v>
      </c>
      <c r="D9" s="3">
        <v>7</v>
      </c>
      <c r="E9" s="3">
        <v>90000</v>
      </c>
      <c r="F9" s="3">
        <f t="shared" si="0"/>
        <v>630000</v>
      </c>
      <c r="G9" t="s">
        <v>80</v>
      </c>
      <c r="H9" s="3">
        <v>3</v>
      </c>
      <c r="I9" s="3">
        <v>60000</v>
      </c>
      <c r="J9" s="3">
        <v>180000</v>
      </c>
      <c r="N9">
        <f t="shared" si="1"/>
        <v>0</v>
      </c>
    </row>
    <row r="10" spans="1:14" x14ac:dyDescent="0.3">
      <c r="A10">
        <v>9</v>
      </c>
      <c r="B10" t="s">
        <v>13</v>
      </c>
      <c r="C10" t="s">
        <v>79</v>
      </c>
      <c r="D10" s="3">
        <v>7</v>
      </c>
      <c r="E10" s="3">
        <v>25000</v>
      </c>
      <c r="F10" s="3">
        <f t="shared" si="0"/>
        <v>175000</v>
      </c>
      <c r="J10" s="3">
        <v>0</v>
      </c>
      <c r="K10" t="s">
        <v>21</v>
      </c>
      <c r="L10">
        <v>2</v>
      </c>
      <c r="M10">
        <v>50000</v>
      </c>
      <c r="N10">
        <f>(L10*M10)</f>
        <v>100000</v>
      </c>
    </row>
    <row r="11" spans="1:14" x14ac:dyDescent="0.3">
      <c r="A11">
        <v>10</v>
      </c>
      <c r="B11" t="s">
        <v>14</v>
      </c>
      <c r="C11" t="s">
        <v>79</v>
      </c>
      <c r="D11" s="3">
        <v>7</v>
      </c>
      <c r="E11" s="3">
        <v>25000</v>
      </c>
      <c r="F11" s="3">
        <f t="shared" si="0"/>
        <v>175000</v>
      </c>
      <c r="G11" t="s">
        <v>80</v>
      </c>
      <c r="H11" s="3">
        <v>3</v>
      </c>
      <c r="I11" s="3">
        <v>30000</v>
      </c>
      <c r="J11" s="3">
        <v>90000</v>
      </c>
      <c r="N11">
        <f>(L11*M11)</f>
        <v>0</v>
      </c>
    </row>
    <row r="12" spans="1:14" x14ac:dyDescent="0.3">
      <c r="A12">
        <v>11</v>
      </c>
      <c r="B12" t="s">
        <v>15</v>
      </c>
      <c r="C12" t="s">
        <v>79</v>
      </c>
      <c r="D12" s="3">
        <v>7</v>
      </c>
      <c r="E12" s="3">
        <v>25000</v>
      </c>
      <c r="F12" s="3">
        <f t="shared" si="0"/>
        <v>175000</v>
      </c>
      <c r="G12" t="s">
        <v>80</v>
      </c>
      <c r="H12" s="3">
        <v>3</v>
      </c>
      <c r="I12" s="3">
        <v>60000</v>
      </c>
      <c r="J12" s="3">
        <v>180000</v>
      </c>
      <c r="N12">
        <f t="shared" ref="N12:N47" si="2">(L12*M12)</f>
        <v>0</v>
      </c>
    </row>
    <row r="13" spans="1:14" x14ac:dyDescent="0.3">
      <c r="A13">
        <v>12</v>
      </c>
      <c r="B13" t="s">
        <v>16</v>
      </c>
      <c r="C13" t="s">
        <v>79</v>
      </c>
      <c r="D13" s="3">
        <v>7</v>
      </c>
      <c r="E13" s="3">
        <v>90000</v>
      </c>
      <c r="F13" s="3">
        <f t="shared" si="0"/>
        <v>630000</v>
      </c>
      <c r="G13" t="s">
        <v>80</v>
      </c>
      <c r="H13" s="3">
        <v>3</v>
      </c>
      <c r="I13" s="3">
        <v>60000</v>
      </c>
      <c r="J13" s="3">
        <v>180000</v>
      </c>
      <c r="N13">
        <f t="shared" si="2"/>
        <v>0</v>
      </c>
    </row>
    <row r="14" spans="1:14" x14ac:dyDescent="0.3">
      <c r="A14">
        <v>13</v>
      </c>
      <c r="B14" t="s">
        <v>17</v>
      </c>
      <c r="C14" t="s">
        <v>79</v>
      </c>
      <c r="D14" s="3">
        <v>7</v>
      </c>
      <c r="E14" s="3">
        <v>25000</v>
      </c>
      <c r="F14" s="3">
        <f t="shared" si="0"/>
        <v>175000</v>
      </c>
      <c r="J14" s="3">
        <v>0</v>
      </c>
      <c r="N14">
        <f t="shared" si="2"/>
        <v>0</v>
      </c>
    </row>
    <row r="15" spans="1:14" x14ac:dyDescent="0.3">
      <c r="A15">
        <v>14</v>
      </c>
      <c r="B15" t="s">
        <v>18</v>
      </c>
      <c r="C15" t="s">
        <v>79</v>
      </c>
      <c r="D15" s="3">
        <v>7</v>
      </c>
      <c r="E15" s="3">
        <v>25000</v>
      </c>
      <c r="F15" s="3">
        <f t="shared" si="0"/>
        <v>175000</v>
      </c>
      <c r="G15" t="s">
        <v>80</v>
      </c>
      <c r="H15" s="3">
        <v>3</v>
      </c>
      <c r="I15" s="3">
        <v>60000</v>
      </c>
      <c r="J15" s="3">
        <v>180000</v>
      </c>
      <c r="N15">
        <f t="shared" si="2"/>
        <v>0</v>
      </c>
    </row>
    <row r="16" spans="1:14" x14ac:dyDescent="0.3">
      <c r="A16">
        <v>15</v>
      </c>
      <c r="B16" t="s">
        <v>19</v>
      </c>
      <c r="C16" t="s">
        <v>79</v>
      </c>
      <c r="D16" s="3">
        <v>7</v>
      </c>
      <c r="E16" s="3">
        <v>25000</v>
      </c>
      <c r="F16" s="3">
        <f t="shared" si="0"/>
        <v>175000</v>
      </c>
      <c r="G16" t="s">
        <v>80</v>
      </c>
      <c r="H16" s="3">
        <v>3</v>
      </c>
      <c r="I16" s="3">
        <v>60000</v>
      </c>
      <c r="J16" s="3">
        <v>180000</v>
      </c>
      <c r="N16">
        <f t="shared" si="2"/>
        <v>0</v>
      </c>
    </row>
    <row r="17" spans="1:14" x14ac:dyDescent="0.3">
      <c r="A17">
        <v>16</v>
      </c>
      <c r="B17" t="s">
        <v>20</v>
      </c>
      <c r="C17" t="s">
        <v>79</v>
      </c>
      <c r="D17" s="3">
        <v>7</v>
      </c>
      <c r="E17" s="3">
        <v>25000</v>
      </c>
      <c r="F17" s="3">
        <f t="shared" si="0"/>
        <v>175000</v>
      </c>
      <c r="J17" s="3">
        <v>0</v>
      </c>
      <c r="N17">
        <f t="shared" si="2"/>
        <v>0</v>
      </c>
    </row>
    <row r="18" spans="1:14" x14ac:dyDescent="0.3">
      <c r="A18">
        <v>17</v>
      </c>
      <c r="B18" t="s">
        <v>22</v>
      </c>
      <c r="J18" s="3">
        <v>0</v>
      </c>
      <c r="K18" t="s">
        <v>21</v>
      </c>
      <c r="L18">
        <v>2</v>
      </c>
      <c r="M18">
        <v>50000</v>
      </c>
      <c r="N18">
        <f t="shared" si="2"/>
        <v>100000</v>
      </c>
    </row>
    <row r="19" spans="1:14" x14ac:dyDescent="0.3">
      <c r="A19">
        <v>18</v>
      </c>
      <c r="B19" t="s">
        <v>23</v>
      </c>
      <c r="G19" t="s">
        <v>80</v>
      </c>
      <c r="H19" s="3">
        <v>3</v>
      </c>
      <c r="I19" s="3">
        <v>60000</v>
      </c>
      <c r="J19" s="3">
        <v>180000</v>
      </c>
      <c r="K19" t="s">
        <v>21</v>
      </c>
      <c r="L19">
        <v>2</v>
      </c>
      <c r="M19">
        <v>40000</v>
      </c>
      <c r="N19">
        <f t="shared" si="2"/>
        <v>80000</v>
      </c>
    </row>
    <row r="20" spans="1:14" x14ac:dyDescent="0.3">
      <c r="A20">
        <v>19</v>
      </c>
      <c r="B20" t="s">
        <v>24</v>
      </c>
      <c r="J20" s="3">
        <v>0</v>
      </c>
      <c r="K20" t="s">
        <v>21</v>
      </c>
      <c r="L20">
        <v>2</v>
      </c>
      <c r="M20">
        <v>40000</v>
      </c>
      <c r="N20">
        <f t="shared" si="2"/>
        <v>80000</v>
      </c>
    </row>
    <row r="21" spans="1:14" x14ac:dyDescent="0.3">
      <c r="A21">
        <v>20</v>
      </c>
      <c r="B21" t="s">
        <v>25</v>
      </c>
      <c r="G21" t="s">
        <v>80</v>
      </c>
      <c r="H21" s="3">
        <v>3</v>
      </c>
      <c r="I21" s="3">
        <v>40000</v>
      </c>
      <c r="J21" s="3">
        <v>120000</v>
      </c>
      <c r="K21" t="s">
        <v>21</v>
      </c>
      <c r="L21">
        <v>2</v>
      </c>
      <c r="M21">
        <v>40000</v>
      </c>
      <c r="N21">
        <f t="shared" si="2"/>
        <v>80000</v>
      </c>
    </row>
    <row r="22" spans="1:14" x14ac:dyDescent="0.3">
      <c r="A22">
        <v>21</v>
      </c>
      <c r="B22" t="s">
        <v>26</v>
      </c>
      <c r="G22" t="s">
        <v>80</v>
      </c>
      <c r="H22" s="3">
        <v>3</v>
      </c>
      <c r="I22" s="3">
        <v>60000</v>
      </c>
      <c r="J22" s="3">
        <v>180000</v>
      </c>
      <c r="K22" t="s">
        <v>21</v>
      </c>
      <c r="L22">
        <v>2</v>
      </c>
      <c r="M22">
        <v>103500</v>
      </c>
      <c r="N22">
        <f t="shared" si="2"/>
        <v>207000</v>
      </c>
    </row>
    <row r="23" spans="1:14" x14ac:dyDescent="0.3">
      <c r="A23">
        <v>22</v>
      </c>
      <c r="B23" t="s">
        <v>27</v>
      </c>
      <c r="G23" t="s">
        <v>80</v>
      </c>
      <c r="H23" s="3">
        <v>3</v>
      </c>
      <c r="I23" s="3">
        <v>40000</v>
      </c>
      <c r="J23" s="3">
        <v>120000</v>
      </c>
      <c r="K23" t="s">
        <v>21</v>
      </c>
      <c r="L23">
        <v>2</v>
      </c>
      <c r="M23">
        <v>40000</v>
      </c>
      <c r="N23">
        <f t="shared" si="2"/>
        <v>80000</v>
      </c>
    </row>
    <row r="24" spans="1:14" x14ac:dyDescent="0.3">
      <c r="A24">
        <v>23</v>
      </c>
      <c r="B24" t="s">
        <v>28</v>
      </c>
      <c r="J24" s="3">
        <v>0</v>
      </c>
      <c r="K24" t="s">
        <v>21</v>
      </c>
      <c r="L24">
        <v>2</v>
      </c>
      <c r="M24">
        <v>40000</v>
      </c>
      <c r="N24">
        <f t="shared" si="2"/>
        <v>80000</v>
      </c>
    </row>
    <row r="25" spans="1:14" x14ac:dyDescent="0.3">
      <c r="A25">
        <v>24</v>
      </c>
      <c r="B25" t="s">
        <v>29</v>
      </c>
      <c r="G25" t="s">
        <v>80</v>
      </c>
      <c r="H25" s="3">
        <v>3</v>
      </c>
      <c r="I25" s="3">
        <v>30000</v>
      </c>
      <c r="J25" s="3">
        <v>90000</v>
      </c>
      <c r="K25" t="s">
        <v>21</v>
      </c>
      <c r="L25">
        <v>2</v>
      </c>
      <c r="M25">
        <v>123499.98</v>
      </c>
      <c r="N25">
        <f t="shared" si="2"/>
        <v>246999.96</v>
      </c>
    </row>
    <row r="26" spans="1:14" x14ac:dyDescent="0.3">
      <c r="A26">
        <v>25</v>
      </c>
      <c r="B26" t="s">
        <v>30</v>
      </c>
      <c r="J26" s="3">
        <v>0</v>
      </c>
      <c r="K26" t="s">
        <v>21</v>
      </c>
      <c r="L26">
        <v>2</v>
      </c>
      <c r="M26">
        <v>40000</v>
      </c>
      <c r="N26">
        <f t="shared" si="2"/>
        <v>80000</v>
      </c>
    </row>
    <row r="27" spans="1:14" x14ac:dyDescent="0.3">
      <c r="A27">
        <v>26</v>
      </c>
      <c r="B27" t="s">
        <v>31</v>
      </c>
      <c r="G27" t="s">
        <v>80</v>
      </c>
      <c r="H27" s="3">
        <v>3</v>
      </c>
      <c r="I27" s="3">
        <v>40000</v>
      </c>
      <c r="J27" s="3">
        <v>120000</v>
      </c>
      <c r="K27" t="s">
        <v>21</v>
      </c>
      <c r="L27">
        <v>2</v>
      </c>
      <c r="M27">
        <v>40000</v>
      </c>
      <c r="N27">
        <f t="shared" si="2"/>
        <v>80000</v>
      </c>
    </row>
    <row r="28" spans="1:14" x14ac:dyDescent="0.3">
      <c r="A28">
        <v>27</v>
      </c>
      <c r="B28" t="s">
        <v>32</v>
      </c>
      <c r="G28" t="s">
        <v>80</v>
      </c>
      <c r="H28" s="3">
        <v>3</v>
      </c>
      <c r="I28" s="3">
        <v>60000</v>
      </c>
      <c r="J28" s="3">
        <v>180000</v>
      </c>
      <c r="K28" t="s">
        <v>21</v>
      </c>
      <c r="L28">
        <v>2</v>
      </c>
      <c r="M28">
        <v>103500</v>
      </c>
      <c r="N28">
        <f t="shared" si="2"/>
        <v>207000</v>
      </c>
    </row>
    <row r="29" spans="1:14" x14ac:dyDescent="0.3">
      <c r="A29">
        <v>28</v>
      </c>
      <c r="B29" t="s">
        <v>33</v>
      </c>
      <c r="G29" t="s">
        <v>80</v>
      </c>
      <c r="H29" s="3">
        <v>3</v>
      </c>
      <c r="I29" s="3">
        <v>60000</v>
      </c>
      <c r="J29" s="3">
        <v>180000</v>
      </c>
      <c r="K29" t="s">
        <v>21</v>
      </c>
      <c r="L29">
        <v>2</v>
      </c>
      <c r="M29">
        <v>40000</v>
      </c>
      <c r="N29">
        <f t="shared" si="2"/>
        <v>80000</v>
      </c>
    </row>
    <row r="30" spans="1:14" x14ac:dyDescent="0.3">
      <c r="A30">
        <v>29</v>
      </c>
      <c r="B30" t="s">
        <v>34</v>
      </c>
      <c r="G30" t="s">
        <v>80</v>
      </c>
      <c r="H30" s="3">
        <v>3</v>
      </c>
      <c r="I30" s="3">
        <v>40000</v>
      </c>
      <c r="J30" s="3">
        <v>120000</v>
      </c>
      <c r="K30" t="s">
        <v>21</v>
      </c>
      <c r="L30">
        <v>2</v>
      </c>
      <c r="M30">
        <v>40000</v>
      </c>
      <c r="N30">
        <f t="shared" si="2"/>
        <v>80000</v>
      </c>
    </row>
    <row r="31" spans="1:14" x14ac:dyDescent="0.3">
      <c r="A31">
        <v>30</v>
      </c>
      <c r="B31" t="s">
        <v>35</v>
      </c>
      <c r="G31" t="s">
        <v>80</v>
      </c>
      <c r="H31" s="3">
        <v>3</v>
      </c>
      <c r="I31" s="3">
        <v>40000</v>
      </c>
      <c r="J31" s="3">
        <v>120000</v>
      </c>
      <c r="K31" t="s">
        <v>21</v>
      </c>
      <c r="L31">
        <v>2</v>
      </c>
      <c r="M31">
        <v>40000</v>
      </c>
      <c r="N31">
        <f t="shared" si="2"/>
        <v>80000</v>
      </c>
    </row>
    <row r="32" spans="1:14" x14ac:dyDescent="0.3">
      <c r="A32">
        <v>31</v>
      </c>
      <c r="B32" t="s">
        <v>36</v>
      </c>
      <c r="G32" t="s">
        <v>80</v>
      </c>
      <c r="H32" s="3">
        <v>3</v>
      </c>
      <c r="I32" s="3">
        <v>40000</v>
      </c>
      <c r="J32" s="3">
        <v>120000</v>
      </c>
      <c r="K32" t="s">
        <v>21</v>
      </c>
      <c r="L32">
        <v>2</v>
      </c>
      <c r="M32">
        <v>40000</v>
      </c>
      <c r="N32">
        <f t="shared" si="2"/>
        <v>80000</v>
      </c>
    </row>
    <row r="33" spans="1:14" x14ac:dyDescent="0.3">
      <c r="A33">
        <v>32</v>
      </c>
      <c r="B33" t="s">
        <v>37</v>
      </c>
      <c r="G33" t="s">
        <v>80</v>
      </c>
      <c r="H33" s="3">
        <v>3</v>
      </c>
      <c r="I33" s="3">
        <v>60000</v>
      </c>
      <c r="J33" s="3">
        <v>180000</v>
      </c>
      <c r="K33" t="s">
        <v>21</v>
      </c>
      <c r="L33">
        <v>2</v>
      </c>
      <c r="M33">
        <v>103500</v>
      </c>
      <c r="N33">
        <f t="shared" si="2"/>
        <v>207000</v>
      </c>
    </row>
    <row r="34" spans="1:14" x14ac:dyDescent="0.3">
      <c r="A34">
        <v>33</v>
      </c>
      <c r="B34" t="s">
        <v>38</v>
      </c>
      <c r="G34" t="s">
        <v>80</v>
      </c>
      <c r="H34" s="3">
        <v>3</v>
      </c>
      <c r="I34" s="3">
        <v>40000</v>
      </c>
      <c r="J34" s="3">
        <v>120000</v>
      </c>
      <c r="K34" t="s">
        <v>21</v>
      </c>
      <c r="L34">
        <v>2</v>
      </c>
      <c r="M34">
        <v>47500</v>
      </c>
      <c r="N34">
        <f t="shared" si="2"/>
        <v>95000</v>
      </c>
    </row>
    <row r="35" spans="1:14" x14ac:dyDescent="0.3">
      <c r="A35">
        <v>34</v>
      </c>
      <c r="B35" t="s">
        <v>39</v>
      </c>
      <c r="G35" t="s">
        <v>80</v>
      </c>
      <c r="H35" s="3">
        <v>3</v>
      </c>
      <c r="I35" s="3">
        <v>30000</v>
      </c>
      <c r="J35" s="3">
        <v>90000</v>
      </c>
      <c r="K35" t="s">
        <v>21</v>
      </c>
      <c r="L35">
        <v>2</v>
      </c>
      <c r="M35">
        <v>103500</v>
      </c>
      <c r="N35">
        <f t="shared" si="2"/>
        <v>207000</v>
      </c>
    </row>
    <row r="36" spans="1:14" x14ac:dyDescent="0.3">
      <c r="A36">
        <v>35</v>
      </c>
      <c r="B36" t="s">
        <v>40</v>
      </c>
      <c r="J36" s="3">
        <v>0</v>
      </c>
      <c r="K36" t="s">
        <v>21</v>
      </c>
      <c r="L36">
        <v>2</v>
      </c>
      <c r="M36">
        <v>40000</v>
      </c>
      <c r="N36">
        <f t="shared" si="2"/>
        <v>80000</v>
      </c>
    </row>
    <row r="37" spans="1:14" x14ac:dyDescent="0.3">
      <c r="A37">
        <v>36</v>
      </c>
      <c r="B37" t="s">
        <v>41</v>
      </c>
      <c r="G37" t="s">
        <v>80</v>
      </c>
      <c r="H37" s="3">
        <v>3</v>
      </c>
      <c r="I37" s="3">
        <v>60000</v>
      </c>
      <c r="J37" s="3">
        <v>180000</v>
      </c>
      <c r="K37" t="s">
        <v>21</v>
      </c>
      <c r="L37">
        <v>2</v>
      </c>
      <c r="M37">
        <v>40000</v>
      </c>
      <c r="N37">
        <f t="shared" si="2"/>
        <v>80000</v>
      </c>
    </row>
    <row r="38" spans="1:14" x14ac:dyDescent="0.3">
      <c r="A38">
        <v>37</v>
      </c>
      <c r="B38" t="s">
        <v>71</v>
      </c>
      <c r="J38" s="3">
        <v>0</v>
      </c>
      <c r="K38" t="s">
        <v>21</v>
      </c>
      <c r="L38">
        <v>2</v>
      </c>
      <c r="M38">
        <v>40000</v>
      </c>
      <c r="N38">
        <f t="shared" si="2"/>
        <v>80000</v>
      </c>
    </row>
    <row r="39" spans="1:14" x14ac:dyDescent="0.3">
      <c r="A39">
        <v>38</v>
      </c>
      <c r="B39" t="s">
        <v>42</v>
      </c>
      <c r="J39" s="3">
        <v>0</v>
      </c>
      <c r="K39" t="s">
        <v>21</v>
      </c>
      <c r="L39">
        <v>2</v>
      </c>
      <c r="M39">
        <v>40000</v>
      </c>
      <c r="N39">
        <f t="shared" si="2"/>
        <v>80000</v>
      </c>
    </row>
    <row r="40" spans="1:14" x14ac:dyDescent="0.3">
      <c r="A40">
        <v>39</v>
      </c>
      <c r="B40" t="s">
        <v>43</v>
      </c>
      <c r="G40" t="s">
        <v>80</v>
      </c>
      <c r="H40" s="3">
        <v>3</v>
      </c>
      <c r="I40" s="3">
        <v>40000</v>
      </c>
      <c r="J40" s="3">
        <v>120000</v>
      </c>
      <c r="K40" t="s">
        <v>21</v>
      </c>
      <c r="L40">
        <v>2</v>
      </c>
      <c r="M40">
        <v>40000</v>
      </c>
      <c r="N40">
        <f t="shared" si="2"/>
        <v>80000</v>
      </c>
    </row>
    <row r="41" spans="1:14" x14ac:dyDescent="0.3">
      <c r="A41">
        <v>40</v>
      </c>
      <c r="B41" t="s">
        <v>72</v>
      </c>
      <c r="J41" s="3">
        <v>0</v>
      </c>
      <c r="K41" t="s">
        <v>21</v>
      </c>
      <c r="L41">
        <v>2</v>
      </c>
      <c r="M41">
        <v>40000</v>
      </c>
      <c r="N41">
        <f t="shared" si="2"/>
        <v>80000</v>
      </c>
    </row>
    <row r="42" spans="1:14" s="7" customFormat="1" hidden="1" x14ac:dyDescent="0.3">
      <c r="A42" s="7">
        <v>41</v>
      </c>
      <c r="B42" s="7" t="s">
        <v>44</v>
      </c>
      <c r="E42" s="8"/>
      <c r="F42" s="8"/>
      <c r="H42" s="8"/>
      <c r="I42" s="8"/>
      <c r="J42" s="8">
        <v>0</v>
      </c>
      <c r="K42" s="7" t="s">
        <v>21</v>
      </c>
      <c r="L42" s="7">
        <v>2</v>
      </c>
      <c r="M42">
        <v>40000</v>
      </c>
    </row>
    <row r="43" spans="1:14" x14ac:dyDescent="0.3">
      <c r="A43">
        <v>42</v>
      </c>
      <c r="B43" t="s">
        <v>45</v>
      </c>
      <c r="G43" t="s">
        <v>80</v>
      </c>
      <c r="H43" s="3">
        <v>3</v>
      </c>
      <c r="I43" s="3">
        <v>40000</v>
      </c>
      <c r="J43" s="3">
        <v>120000</v>
      </c>
      <c r="K43" t="s">
        <v>21</v>
      </c>
      <c r="L43">
        <v>2</v>
      </c>
      <c r="M43">
        <v>40000</v>
      </c>
      <c r="N43">
        <f t="shared" si="2"/>
        <v>80000</v>
      </c>
    </row>
    <row r="44" spans="1:14" x14ac:dyDescent="0.3">
      <c r="A44">
        <v>43</v>
      </c>
      <c r="B44" t="s">
        <v>46</v>
      </c>
      <c r="G44" t="s">
        <v>80</v>
      </c>
      <c r="H44" s="3">
        <v>3</v>
      </c>
      <c r="I44" s="3">
        <v>40000</v>
      </c>
      <c r="J44" s="3">
        <v>120000</v>
      </c>
      <c r="K44" t="s">
        <v>21</v>
      </c>
      <c r="L44">
        <v>2</v>
      </c>
      <c r="M44">
        <v>40000</v>
      </c>
      <c r="N44">
        <f t="shared" si="2"/>
        <v>80000</v>
      </c>
    </row>
    <row r="45" spans="1:14" s="9" customFormat="1" hidden="1" x14ac:dyDescent="0.3">
      <c r="A45" s="9">
        <v>44</v>
      </c>
      <c r="B45" s="9" t="s">
        <v>47</v>
      </c>
      <c r="E45" s="10"/>
      <c r="F45" s="10"/>
      <c r="H45" s="10"/>
      <c r="I45" s="10"/>
      <c r="J45" s="10">
        <v>0</v>
      </c>
      <c r="K45" s="9" t="s">
        <v>21</v>
      </c>
      <c r="L45" s="9">
        <v>2</v>
      </c>
      <c r="M45">
        <v>40000</v>
      </c>
      <c r="N45">
        <f t="shared" si="2"/>
        <v>80000</v>
      </c>
    </row>
    <row r="46" spans="1:14" x14ac:dyDescent="0.3">
      <c r="A46">
        <v>45</v>
      </c>
      <c r="B46" t="s">
        <v>48</v>
      </c>
      <c r="J46" s="3">
        <v>0</v>
      </c>
      <c r="K46" t="s">
        <v>21</v>
      </c>
      <c r="L46">
        <v>2</v>
      </c>
      <c r="M46">
        <v>40000</v>
      </c>
      <c r="N46">
        <f t="shared" si="2"/>
        <v>80000</v>
      </c>
    </row>
    <row r="47" spans="1:14" x14ac:dyDescent="0.3">
      <c r="A47">
        <v>46</v>
      </c>
      <c r="B47" t="s">
        <v>49</v>
      </c>
      <c r="G47" t="s">
        <v>80</v>
      </c>
      <c r="H47" s="3">
        <v>3</v>
      </c>
      <c r="I47" s="3">
        <v>40000</v>
      </c>
      <c r="J47" s="3">
        <v>120000</v>
      </c>
      <c r="K47" t="s">
        <v>21</v>
      </c>
      <c r="L47">
        <v>2</v>
      </c>
      <c r="M47">
        <v>40000</v>
      </c>
      <c r="N47">
        <f t="shared" si="2"/>
        <v>80000</v>
      </c>
    </row>
    <row r="48" spans="1:14" x14ac:dyDescent="0.3">
      <c r="A48">
        <v>47</v>
      </c>
      <c r="B48" t="s">
        <v>50</v>
      </c>
      <c r="J48" s="3">
        <v>0</v>
      </c>
    </row>
    <row r="49" spans="1:14" x14ac:dyDescent="0.3">
      <c r="A49">
        <v>48</v>
      </c>
      <c r="B49" t="s">
        <v>74</v>
      </c>
      <c r="J49" s="3">
        <v>0</v>
      </c>
    </row>
    <row r="50" spans="1:14" x14ac:dyDescent="0.3">
      <c r="A50">
        <v>49</v>
      </c>
      <c r="B50" t="s">
        <v>51</v>
      </c>
      <c r="J50" s="3">
        <v>0</v>
      </c>
    </row>
    <row r="51" spans="1:14" x14ac:dyDescent="0.3">
      <c r="A51">
        <v>50</v>
      </c>
      <c r="B51" t="s">
        <v>52</v>
      </c>
      <c r="G51" t="s">
        <v>80</v>
      </c>
      <c r="H51" s="3">
        <v>3</v>
      </c>
      <c r="I51" s="3">
        <v>90000</v>
      </c>
      <c r="J51" s="3">
        <v>270000</v>
      </c>
    </row>
    <row r="52" spans="1:14" x14ac:dyDescent="0.3">
      <c r="A52">
        <v>51</v>
      </c>
      <c r="B52" t="s">
        <v>53</v>
      </c>
      <c r="G52" t="s">
        <v>80</v>
      </c>
      <c r="H52" s="3">
        <v>3</v>
      </c>
      <c r="I52" s="3">
        <v>60000</v>
      </c>
      <c r="J52" s="3">
        <v>180000</v>
      </c>
      <c r="K52" t="s">
        <v>21</v>
      </c>
      <c r="L52">
        <v>2</v>
      </c>
      <c r="M52">
        <v>40000</v>
      </c>
      <c r="N52">
        <f t="shared" ref="N52" si="3">(L52*M52)</f>
        <v>80000</v>
      </c>
    </row>
    <row r="53" spans="1:14" x14ac:dyDescent="0.3">
      <c r="A53">
        <v>52</v>
      </c>
      <c r="B53" t="s">
        <v>54</v>
      </c>
      <c r="G53" t="s">
        <v>80</v>
      </c>
      <c r="H53" s="3">
        <v>3</v>
      </c>
      <c r="I53" s="3">
        <v>40000</v>
      </c>
      <c r="J53" s="3">
        <v>120000</v>
      </c>
    </row>
    <row r="54" spans="1:14" x14ac:dyDescent="0.3">
      <c r="A54">
        <v>53</v>
      </c>
      <c r="B54" t="s">
        <v>55</v>
      </c>
      <c r="G54" t="s">
        <v>80</v>
      </c>
      <c r="H54" s="3">
        <v>3</v>
      </c>
      <c r="I54" s="3">
        <v>40000</v>
      </c>
      <c r="J54" s="3">
        <v>120000</v>
      </c>
    </row>
    <row r="55" spans="1:14" x14ac:dyDescent="0.3">
      <c r="A55">
        <v>54</v>
      </c>
      <c r="B55" t="s">
        <v>56</v>
      </c>
      <c r="G55" t="s">
        <v>80</v>
      </c>
      <c r="H55" s="3">
        <v>3</v>
      </c>
      <c r="I55" s="3">
        <v>40000</v>
      </c>
      <c r="J55" s="3">
        <v>120000</v>
      </c>
      <c r="K55" t="s">
        <v>21</v>
      </c>
      <c r="L55">
        <v>2</v>
      </c>
      <c r="M55">
        <v>40000</v>
      </c>
      <c r="N55">
        <f t="shared" ref="N55" si="4">(L55*M55)</f>
        <v>80000</v>
      </c>
    </row>
    <row r="56" spans="1:14" x14ac:dyDescent="0.3">
      <c r="A56">
        <v>55</v>
      </c>
      <c r="B56" t="s">
        <v>57</v>
      </c>
      <c r="G56" t="s">
        <v>80</v>
      </c>
      <c r="H56" s="3">
        <v>3</v>
      </c>
      <c r="I56" s="3">
        <v>40000</v>
      </c>
      <c r="J56" s="3">
        <v>120000</v>
      </c>
    </row>
    <row r="57" spans="1:14" x14ac:dyDescent="0.3">
      <c r="A57">
        <v>56</v>
      </c>
      <c r="B57" t="s">
        <v>58</v>
      </c>
      <c r="G57" t="s">
        <v>80</v>
      </c>
      <c r="H57" s="3">
        <v>3</v>
      </c>
      <c r="I57" s="3">
        <v>40000</v>
      </c>
      <c r="J57" s="3">
        <v>120000</v>
      </c>
    </row>
    <row r="58" spans="1:14" x14ac:dyDescent="0.3">
      <c r="A58">
        <v>57</v>
      </c>
      <c r="B58" t="s">
        <v>59</v>
      </c>
      <c r="G58" t="s">
        <v>80</v>
      </c>
      <c r="H58" s="3">
        <v>3</v>
      </c>
      <c r="I58" s="3">
        <v>90000</v>
      </c>
      <c r="J58" s="3">
        <v>270000</v>
      </c>
    </row>
    <row r="59" spans="1:14" x14ac:dyDescent="0.3">
      <c r="A59">
        <v>58</v>
      </c>
      <c r="B59" t="s">
        <v>60</v>
      </c>
      <c r="G59" t="s">
        <v>80</v>
      </c>
      <c r="H59" s="3">
        <v>3</v>
      </c>
      <c r="I59" s="3">
        <v>30000</v>
      </c>
      <c r="J59" s="3">
        <v>90000</v>
      </c>
    </row>
    <row r="60" spans="1:14" x14ac:dyDescent="0.3">
      <c r="A60">
        <v>59</v>
      </c>
      <c r="B60" t="s">
        <v>61</v>
      </c>
      <c r="G60" t="s">
        <v>80</v>
      </c>
      <c r="H60" s="3">
        <v>4</v>
      </c>
      <c r="I60" s="3">
        <v>40000</v>
      </c>
      <c r="J60" s="3">
        <v>160000</v>
      </c>
    </row>
    <row r="61" spans="1:14" x14ac:dyDescent="0.3">
      <c r="A61">
        <v>60</v>
      </c>
      <c r="B61" t="s">
        <v>62</v>
      </c>
      <c r="G61" t="s">
        <v>80</v>
      </c>
      <c r="H61" s="3">
        <v>3</v>
      </c>
      <c r="I61" s="3">
        <v>40000</v>
      </c>
      <c r="J61" s="3">
        <v>120000</v>
      </c>
    </row>
    <row r="62" spans="1:14" x14ac:dyDescent="0.3">
      <c r="A62">
        <v>61</v>
      </c>
      <c r="B62" t="s">
        <v>73</v>
      </c>
      <c r="K62" t="s">
        <v>21</v>
      </c>
      <c r="L62">
        <v>2</v>
      </c>
      <c r="M62">
        <v>40000</v>
      </c>
      <c r="N62">
        <f t="shared" ref="N62" si="5">(L62*M62)</f>
        <v>80000</v>
      </c>
    </row>
    <row r="63" spans="1:14" ht="18" x14ac:dyDescent="0.35">
      <c r="F63" s="5"/>
    </row>
    <row r="64" spans="1:14" ht="18" x14ac:dyDescent="0.35">
      <c r="C64" s="6" t="s">
        <v>75</v>
      </c>
      <c r="E64" s="5">
        <f>SUM(E2:E62)</f>
        <v>685000</v>
      </c>
      <c r="F64" s="5"/>
      <c r="I64" s="5">
        <f>SUM(I2:I62)</f>
        <v>2000000</v>
      </c>
      <c r="J64" s="5"/>
      <c r="M64" s="6">
        <f>SUM(M2:M62)</f>
        <v>1724999.98</v>
      </c>
      <c r="N64" s="6"/>
    </row>
    <row r="65" spans="5:13" ht="18" x14ac:dyDescent="0.35">
      <c r="E65" s="5" t="s">
        <v>76</v>
      </c>
      <c r="I65" s="5" t="s">
        <v>76</v>
      </c>
      <c r="M65" s="6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74A1A-9586-4D3F-B815-F180370958C6}">
  <dimension ref="A1:D9"/>
  <sheetViews>
    <sheetView tabSelected="1" workbookViewId="0">
      <selection activeCell="F5" sqref="F5"/>
    </sheetView>
  </sheetViews>
  <sheetFormatPr defaultRowHeight="14.4" x14ac:dyDescent="0.3"/>
  <cols>
    <col min="1" max="1" width="10.5546875" bestFit="1" customWidth="1"/>
    <col min="2" max="2" width="15.33203125" bestFit="1" customWidth="1"/>
    <col min="3" max="3" width="12.88671875" bestFit="1" customWidth="1"/>
    <col min="4" max="4" width="16.44140625" bestFit="1" customWidth="1"/>
  </cols>
  <sheetData>
    <row r="1" spans="1:4" s="1" customFormat="1" x14ac:dyDescent="0.3">
      <c r="A1" s="1" t="s">
        <v>82</v>
      </c>
      <c r="B1" s="1" t="s">
        <v>84</v>
      </c>
      <c r="C1" s="1" t="s">
        <v>83</v>
      </c>
      <c r="D1" s="1" t="s">
        <v>81</v>
      </c>
    </row>
    <row r="3" spans="1:4" x14ac:dyDescent="0.3">
      <c r="A3">
        <v>4</v>
      </c>
      <c r="B3">
        <v>25000</v>
      </c>
      <c r="C3">
        <v>30000</v>
      </c>
      <c r="D3">
        <v>40000</v>
      </c>
    </row>
    <row r="4" spans="1:4" x14ac:dyDescent="0.3">
      <c r="A4">
        <v>6</v>
      </c>
      <c r="C4">
        <v>40000</v>
      </c>
      <c r="D4">
        <v>47500</v>
      </c>
    </row>
    <row r="5" spans="1:4" x14ac:dyDescent="0.3">
      <c r="A5">
        <v>8</v>
      </c>
      <c r="D5">
        <v>50000</v>
      </c>
    </row>
    <row r="6" spans="1:4" x14ac:dyDescent="0.3">
      <c r="A6">
        <v>10</v>
      </c>
      <c r="B6">
        <v>50000</v>
      </c>
      <c r="C6">
        <v>60000</v>
      </c>
      <c r="D6">
        <v>103500</v>
      </c>
    </row>
    <row r="7" spans="1:4" x14ac:dyDescent="0.3">
      <c r="A7">
        <v>12</v>
      </c>
      <c r="D7">
        <v>123499.98</v>
      </c>
    </row>
    <row r="8" spans="1:4" x14ac:dyDescent="0.3">
      <c r="A8">
        <v>40</v>
      </c>
      <c r="C8">
        <v>90000</v>
      </c>
    </row>
    <row r="9" spans="1:4" x14ac:dyDescent="0.3">
      <c r="A9">
        <v>50</v>
      </c>
      <c r="B9">
        <v>90000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Haris</dc:creator>
  <cp:lastModifiedBy>AIML_A_45_Taran Shetty</cp:lastModifiedBy>
  <dcterms:created xsi:type="dcterms:W3CDTF">2025-01-30T10:41:03Z</dcterms:created>
  <dcterms:modified xsi:type="dcterms:W3CDTF">2025-12-26T10:54:25Z</dcterms:modified>
</cp:coreProperties>
</file>